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201f81f5210f3b/Desktop/"/>
    </mc:Choice>
  </mc:AlternateContent>
  <xr:revisionPtr revIDLastSave="208" documentId="8_{CCBDDAF9-0F84-47D7-921C-99FB7322D471}" xr6:coauthVersionLast="47" xr6:coauthVersionMax="47" xr10:uidLastSave="{30CBA954-6FC6-4966-95E3-D856D922B88D}"/>
  <bookViews>
    <workbookView minimized="1" xWindow="3312" yWindow="3312" windowWidth="17280" windowHeight="9960" firstSheet="2" activeTab="2" xr2:uid="{9CC42F51-7C5B-42F6-9853-EDA1620BCD60}"/>
  </bookViews>
  <sheets>
    <sheet name="Part_Master" sheetId="1" r:id="rId1"/>
    <sheet name="Lookup_Data" sheetId="2" r:id="rId2"/>
    <sheet name="Dashboard" sheetId="3" r:id="rId3"/>
    <sheet name="Pivot_Tables" sheetId="4" r:id="rId4"/>
  </sheets>
  <definedNames>
    <definedName name="_xlnm._FilterDatabase" localSheetId="0" hidden="1">Part_Master!$A$1:$G$31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H3" i="3"/>
  <c r="D3" i="3"/>
  <c r="B3" i="3"/>
</calcChain>
</file>

<file path=xl/sharedStrings.xml><?xml version="1.0" encoding="utf-8"?>
<sst xmlns="http://schemas.openxmlformats.org/spreadsheetml/2006/main" count="239" uniqueCount="92">
  <si>
    <t>Status</t>
  </si>
  <si>
    <t>In Work</t>
  </si>
  <si>
    <t>Released</t>
  </si>
  <si>
    <t>Obsolete</t>
  </si>
  <si>
    <t>Department</t>
  </si>
  <si>
    <t>Design</t>
  </si>
  <si>
    <t>Manufacturing</t>
  </si>
  <si>
    <t>Quality</t>
  </si>
  <si>
    <t>Procurement</t>
  </si>
  <si>
    <t>Category</t>
  </si>
  <si>
    <t>Mechanical</t>
  </si>
  <si>
    <t>Electrical</t>
  </si>
  <si>
    <t>Hardware</t>
  </si>
  <si>
    <t>Assembly</t>
  </si>
  <si>
    <t>A</t>
  </si>
  <si>
    <t>B</t>
  </si>
  <si>
    <t>C</t>
  </si>
  <si>
    <t>D</t>
  </si>
  <si>
    <t>E</t>
  </si>
  <si>
    <t>Revision</t>
  </si>
  <si>
    <t>Part Number</t>
  </si>
  <si>
    <t>Part Name</t>
  </si>
  <si>
    <t>Owner Dept</t>
  </si>
  <si>
    <t>Creation Date</t>
  </si>
  <si>
    <t>P1001</t>
  </si>
  <si>
    <t>Gear Housing</t>
  </si>
  <si>
    <t>P1002</t>
  </si>
  <si>
    <t>Motor Shaft</t>
  </si>
  <si>
    <t>P1003</t>
  </si>
  <si>
    <t>Bearing Assembly</t>
  </si>
  <si>
    <t>P1004</t>
  </si>
  <si>
    <t>Power Cable</t>
  </si>
  <si>
    <t>P1005</t>
  </si>
  <si>
    <t>Mounting Bracket</t>
  </si>
  <si>
    <t>P1006</t>
  </si>
  <si>
    <t>Control Panel</t>
  </si>
  <si>
    <t>P1007</t>
  </si>
  <si>
    <t>Fan Assembly</t>
  </si>
  <si>
    <t>P1008</t>
  </si>
  <si>
    <t>Sensor Mount</t>
  </si>
  <si>
    <t>P1009</t>
  </si>
  <si>
    <t>Pump Housing</t>
  </si>
  <si>
    <t>P1010</t>
  </si>
  <si>
    <t>Battery Pack</t>
  </si>
  <si>
    <t>P1011</t>
  </si>
  <si>
    <t>Drive Unit</t>
  </si>
  <si>
    <t>P1012</t>
  </si>
  <si>
    <t>Coupling Plate</t>
  </si>
  <si>
    <t>P1013</t>
  </si>
  <si>
    <t>Circuit Board</t>
  </si>
  <si>
    <t>P1014</t>
  </si>
  <si>
    <t>Base Frame</t>
  </si>
  <si>
    <t>P1015</t>
  </si>
  <si>
    <t>Valve Body</t>
  </si>
  <si>
    <t>P1016</t>
  </si>
  <si>
    <t>Wire Harness</t>
  </si>
  <si>
    <t>P1017</t>
  </si>
  <si>
    <t>Support Bracket</t>
  </si>
  <si>
    <t>P1018</t>
  </si>
  <si>
    <t>Cooling Assembly</t>
  </si>
  <si>
    <t>P1019</t>
  </si>
  <si>
    <t>Gear Plate</t>
  </si>
  <si>
    <t>P1020</t>
  </si>
  <si>
    <t>Junction Box</t>
  </si>
  <si>
    <t>P1021</t>
  </si>
  <si>
    <t>Clamp Set</t>
  </si>
  <si>
    <t>P1022</t>
  </si>
  <si>
    <t>Rotor Assembly</t>
  </si>
  <si>
    <t>P1023</t>
  </si>
  <si>
    <t>Bearing Block</t>
  </si>
  <si>
    <t>P1024</t>
  </si>
  <si>
    <t>Control Switch</t>
  </si>
  <si>
    <t>P1025</t>
  </si>
  <si>
    <t>Fastener Kit</t>
  </si>
  <si>
    <t>P1026</t>
  </si>
  <si>
    <t>Drive Assembly</t>
  </si>
  <si>
    <t>P1027</t>
  </si>
  <si>
    <t>Housing Cover</t>
  </si>
  <si>
    <t>P1028</t>
  </si>
  <si>
    <t>Relay Module</t>
  </si>
  <si>
    <t>P1029</t>
  </si>
  <si>
    <t>Spacer Block</t>
  </si>
  <si>
    <t>P1030</t>
  </si>
  <si>
    <t>Compressor Unit</t>
  </si>
  <si>
    <t>PLM Part Master Dashboard</t>
  </si>
  <si>
    <t>Total Parts</t>
  </si>
  <si>
    <t>Releases Parts</t>
  </si>
  <si>
    <t>In Work Parts</t>
  </si>
  <si>
    <t>Obsolete Parts</t>
  </si>
  <si>
    <t>Row Labels</t>
  </si>
  <si>
    <t>Grand Total</t>
  </si>
  <si>
    <t>Part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</si>
</sst>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5" fontId="0" fillId="0" borderId="3" xfId="0" applyNumberFormat="1" applyBorder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5" fontId="0" fillId="0" borderId="9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[PLM_Part_Master_Database.xlsx]Pivot_Tables!PivotTable2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</a:t>
            </a:r>
            <a:r>
              <a:rPr lang="en-IN" baseline="0"/>
              <a:t> Ststus Distribution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9-4BFA-93E1-ACC9547F06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99-4BFA-93E1-ACC9547F06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99-4BFA-93E1-ACC9547F06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Pivot_Tables!$A$2:$A$5</c:f>
              <c:strCache>
                <c:ptCount val="3"/>
                <c:pt idx="0">
                  <c:v>In Work</c:v>
                </c:pt>
                <c:pt idx="1">
                  <c:v>Obsolete</c:v>
                </c:pt>
                <c:pt idx="2">
                  <c:v>Released</c:v>
                </c:pt>
              </c:strCache>
            </c:strRef>
          </c:cat>
          <c:val>
            <c:numRef>
              <c:f>Pivot_Tables!$B$2:$B$5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99-4BFA-93E1-ACC9547F06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[PLM_Part_Master_Database.xlsx]Pivot_Tables!PivotTable3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Parts by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319031903190319"/>
          <c:y val="0.13833349365360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Pivot_Tables!$A$11:$A$15</c:f>
              <c:strCache>
                <c:ptCount val="4"/>
                <c:pt idx="0">
                  <c:v>Assembly</c:v>
                </c:pt>
                <c:pt idx="1">
                  <c:v>Electrical</c:v>
                </c:pt>
                <c:pt idx="2">
                  <c:v>Hardware</c:v>
                </c:pt>
                <c:pt idx="3">
                  <c:v>Mechanical</c:v>
                </c:pt>
              </c:strCache>
            </c:strRef>
          </c:cat>
          <c:val>
            <c:numRef>
              <c:f>Pivot_Tables!$B$11:$B$15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7-4FBD-BF11-A2C93E64D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8847456"/>
        <c:axId val="1557741344"/>
      </c:barChart>
      <c:catAx>
        <c:axId val="179884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41344"/>
        <c:crosses val="autoZero"/>
        <c:auto val="1"/>
        <c:lblAlgn val="ctr"/>
        <c:lblOffset val="100"/>
        <c:noMultiLvlLbl val="0"/>
      </c:catAx>
      <c:valAx>
        <c:axId val="15577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4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[PLM_Part_Master_Database.xlsx]Pivot_Tables!PivotTable4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Parts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Pivot_Tables!$A$21:$A$25</c:f>
              <c:strCache>
                <c:ptCount val="4"/>
                <c:pt idx="0">
                  <c:v>Design</c:v>
                </c:pt>
                <c:pt idx="1">
                  <c:v>Manufacturing</c:v>
                </c:pt>
                <c:pt idx="2">
                  <c:v>Procurement</c:v>
                </c:pt>
                <c:pt idx="3">
                  <c:v>Quality</c:v>
                </c:pt>
              </c:strCache>
            </c:strRef>
          </c:cat>
          <c:val>
            <c:numRef>
              <c:f>Pivot_Tables!$B$21:$B$25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3-4000-8136-CD5046B6DA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7186896"/>
        <c:axId val="1787187376"/>
      </c:barChart>
      <c:catAx>
        <c:axId val="17871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87376"/>
        <c:crosses val="autoZero"/>
        <c:auto val="1"/>
        <c:lblAlgn val="ctr"/>
        <c:lblOffset val="100"/>
        <c:noMultiLvlLbl val="0"/>
      </c:catAx>
      <c:valAx>
        <c:axId val="178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[PLM_Part_Master_Database.xlsx]Pivot_Tables!PivotTable5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Revision</a:t>
            </a:r>
            <a:r>
              <a:rPr lang="en-US" baseline="0"/>
              <a:t>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Pivot_Tables!$A$31:$A$35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Pivot_Tables!$B$31:$B$35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1-4ABB-9DE6-7CA70022F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1327200"/>
        <c:axId val="1591324800"/>
      </c:barChart>
      <c:catAx>
        <c:axId val="159132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24800"/>
        <c:crosses val="autoZero"/>
        <c:auto val="1"/>
        <c:lblAlgn val="ctr"/>
        <c:lblOffset val="100"/>
        <c:noMultiLvlLbl val="0"/>
      </c:catAx>
      <c:valAx>
        <c:axId val="15913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2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175260</xdr:rowOff>
    </xdr:from>
    <xdr:to>
      <xdr:col>4</xdr:col>
      <xdr:colOff>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3FA93-D88B-4C60-ADB5-A75972DD5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6</xdr:row>
      <xdr:rowOff>0</xdr:rowOff>
    </xdr:from>
    <xdr:to>
      <xdr:col>8</xdr:col>
      <xdr:colOff>15240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7B1475-7A9F-445F-9DBA-CED880BD9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22860</xdr:colOff>
      <xdr:row>28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5533C4-CBDA-4E90-B4C4-D60D6804C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8</xdr:col>
      <xdr:colOff>38100</xdr:colOff>
      <xdr:row>29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672579-A0E0-4BB6-B82C-BA5622A4C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r S" refreshedDate="46197.602669791668" createdVersion="8" refreshedVersion="8" minRefreshableVersion="3" recordCount="30" xr:uid="{CE8B736E-9BB1-40C4-9324-707B3705B787}">
  <cacheSource type="worksheet">
    <worksheetSource name="tblParts"/>
  </cacheSource>
  <cacheFields count="7">
    <cacheField name="Part Number" numFmtId="0">
      <sharedItems/>
    </cacheField>
    <cacheField name="Part Name" numFmtId="0">
      <sharedItems/>
    </cacheField>
    <cacheField name="Category" numFmtId="0">
      <sharedItems count="4">
        <s v="Mechanical"/>
        <s v="Assembly"/>
        <s v="Electrical"/>
        <s v="Hardware"/>
      </sharedItems>
    </cacheField>
    <cacheField name="Revision" numFmtId="0">
      <sharedItems count="4">
        <s v="A"/>
        <s v="B"/>
        <s v="C"/>
        <s v="D"/>
      </sharedItems>
    </cacheField>
    <cacheField name="Owner Dept" numFmtId="0">
      <sharedItems count="4">
        <s v="Design"/>
        <s v="Manufacturing"/>
        <s v="Quality"/>
        <s v="Procurement"/>
      </sharedItems>
    </cacheField>
    <cacheField name="Status" numFmtId="0">
      <sharedItems count="3">
        <s v="Released"/>
        <s v="In Work"/>
        <s v="Obsolete"/>
      </sharedItems>
    </cacheField>
    <cacheField name="Creation Date" numFmtId="15">
      <sharedItems containsSemiMixedTypes="0" containsNonDate="0" containsDate="1" containsString="0" minDate="2026-01-01T00:00:00" maxDate="2026-01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1001"/>
    <s v="Gear Housing"/>
    <x v="0"/>
    <x v="0"/>
    <x v="0"/>
    <x v="0"/>
    <d v="2026-01-01T00:00:00"/>
  </r>
  <r>
    <s v="P1002"/>
    <s v="Motor Shaft"/>
    <x v="0"/>
    <x v="1"/>
    <x v="0"/>
    <x v="0"/>
    <d v="2026-01-02T00:00:00"/>
  </r>
  <r>
    <s v="P1003"/>
    <s v="Bearing Assembly"/>
    <x v="1"/>
    <x v="0"/>
    <x v="1"/>
    <x v="1"/>
    <d v="2026-01-03T00:00:00"/>
  </r>
  <r>
    <s v="P1004"/>
    <s v="Power Cable"/>
    <x v="2"/>
    <x v="2"/>
    <x v="2"/>
    <x v="0"/>
    <d v="2026-01-04T00:00:00"/>
  </r>
  <r>
    <s v="P1005"/>
    <s v="Mounting Bracket"/>
    <x v="3"/>
    <x v="0"/>
    <x v="0"/>
    <x v="2"/>
    <d v="2026-01-05T00:00:00"/>
  </r>
  <r>
    <s v="P1006"/>
    <s v="Control Panel"/>
    <x v="2"/>
    <x v="1"/>
    <x v="1"/>
    <x v="0"/>
    <d v="2026-01-06T00:00:00"/>
  </r>
  <r>
    <s v="P1007"/>
    <s v="Fan Assembly"/>
    <x v="1"/>
    <x v="0"/>
    <x v="0"/>
    <x v="1"/>
    <d v="2026-01-07T00:00:00"/>
  </r>
  <r>
    <s v="P1008"/>
    <s v="Sensor Mount"/>
    <x v="3"/>
    <x v="2"/>
    <x v="2"/>
    <x v="0"/>
    <d v="2026-01-08T00:00:00"/>
  </r>
  <r>
    <s v="P1009"/>
    <s v="Pump Housing"/>
    <x v="0"/>
    <x v="1"/>
    <x v="0"/>
    <x v="0"/>
    <d v="2026-01-09T00:00:00"/>
  </r>
  <r>
    <s v="P1010"/>
    <s v="Battery Pack"/>
    <x v="2"/>
    <x v="0"/>
    <x v="1"/>
    <x v="1"/>
    <d v="2026-01-10T00:00:00"/>
  </r>
  <r>
    <s v="P1011"/>
    <s v="Drive Unit"/>
    <x v="1"/>
    <x v="3"/>
    <x v="0"/>
    <x v="0"/>
    <d v="2026-01-11T00:00:00"/>
  </r>
  <r>
    <s v="P1012"/>
    <s v="Coupling Plate"/>
    <x v="3"/>
    <x v="1"/>
    <x v="3"/>
    <x v="0"/>
    <d v="2026-01-12T00:00:00"/>
  </r>
  <r>
    <s v="P1013"/>
    <s v="Circuit Board"/>
    <x v="2"/>
    <x v="2"/>
    <x v="2"/>
    <x v="0"/>
    <d v="2026-01-13T00:00:00"/>
  </r>
  <r>
    <s v="P1014"/>
    <s v="Base Frame"/>
    <x v="0"/>
    <x v="0"/>
    <x v="1"/>
    <x v="1"/>
    <d v="2026-01-14T00:00:00"/>
  </r>
  <r>
    <s v="P1015"/>
    <s v="Valve Body"/>
    <x v="0"/>
    <x v="1"/>
    <x v="0"/>
    <x v="0"/>
    <d v="2026-01-15T00:00:00"/>
  </r>
  <r>
    <s v="P1016"/>
    <s v="Wire Harness"/>
    <x v="2"/>
    <x v="0"/>
    <x v="2"/>
    <x v="0"/>
    <d v="2026-01-16T00:00:00"/>
  </r>
  <r>
    <s v="P1017"/>
    <s v="Support Bracket"/>
    <x v="3"/>
    <x v="3"/>
    <x v="3"/>
    <x v="2"/>
    <d v="2026-01-17T00:00:00"/>
  </r>
  <r>
    <s v="P1018"/>
    <s v="Cooling Assembly"/>
    <x v="1"/>
    <x v="1"/>
    <x v="1"/>
    <x v="0"/>
    <d v="2026-01-18T00:00:00"/>
  </r>
  <r>
    <s v="P1019"/>
    <s v="Gear Plate"/>
    <x v="0"/>
    <x v="2"/>
    <x v="0"/>
    <x v="0"/>
    <d v="2026-01-19T00:00:00"/>
  </r>
  <r>
    <s v="P1020"/>
    <s v="Junction Box"/>
    <x v="2"/>
    <x v="0"/>
    <x v="2"/>
    <x v="1"/>
    <d v="2026-01-20T00:00:00"/>
  </r>
  <r>
    <s v="P1021"/>
    <s v="Clamp Set"/>
    <x v="3"/>
    <x v="1"/>
    <x v="3"/>
    <x v="0"/>
    <d v="2026-01-21T00:00:00"/>
  </r>
  <r>
    <s v="P1022"/>
    <s v="Rotor Assembly"/>
    <x v="1"/>
    <x v="2"/>
    <x v="1"/>
    <x v="0"/>
    <d v="2026-01-22T00:00:00"/>
  </r>
  <r>
    <s v="P1023"/>
    <s v="Bearing Block"/>
    <x v="0"/>
    <x v="0"/>
    <x v="0"/>
    <x v="0"/>
    <d v="2026-01-23T00:00:00"/>
  </r>
  <r>
    <s v="P1024"/>
    <s v="Control Switch"/>
    <x v="2"/>
    <x v="3"/>
    <x v="2"/>
    <x v="2"/>
    <d v="2026-01-24T00:00:00"/>
  </r>
  <r>
    <s v="P1025"/>
    <s v="Fastener Kit"/>
    <x v="3"/>
    <x v="0"/>
    <x v="3"/>
    <x v="0"/>
    <d v="2026-01-25T00:00:00"/>
  </r>
  <r>
    <s v="P1026"/>
    <s v="Drive Assembly"/>
    <x v="1"/>
    <x v="1"/>
    <x v="1"/>
    <x v="1"/>
    <d v="2026-01-26T00:00:00"/>
  </r>
  <r>
    <s v="P1027"/>
    <s v="Housing Cover"/>
    <x v="0"/>
    <x v="2"/>
    <x v="0"/>
    <x v="0"/>
    <d v="2026-01-27T00:00:00"/>
  </r>
  <r>
    <s v="P1028"/>
    <s v="Relay Module"/>
    <x v="2"/>
    <x v="1"/>
    <x v="2"/>
    <x v="0"/>
    <d v="2026-01-28T00:00:00"/>
  </r>
  <r>
    <s v="P1029"/>
    <s v="Spacer Block"/>
    <x v="3"/>
    <x v="0"/>
    <x v="3"/>
    <x v="0"/>
    <d v="2026-01-29T00:00:00"/>
  </r>
  <r>
    <s v="P1030"/>
    <s v="Compressor Unit"/>
    <x v="1"/>
    <x v="3"/>
    <x v="1"/>
    <x v="0"/>
    <d v="2026-01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3204F-91D9-4CD4-B0D6-A4A3171050CE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0:B35" firstHeaderRow="1" firstDataRow="1" firstDataCol="1"/>
  <pivotFields count="7"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5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rt Count" fld="0" subtotal="count" baseField="3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85BAE-A089-4ABD-867F-7D1772136A8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5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1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rt Count" fld="0" subtotal="count" baseField="4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0C19C-1885-4F2A-ACF1-F90A2F71DF2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5" firstHeaderRow="1" firstDataRow="1" firstDataCol="1"/>
  <pivotFields count="7"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numFmtId="1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rt Count" fld="0" subtotal="count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B43E0-3300-4AD1-BC84-877C6E9669A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art Count" fld="0" subtotal="count" baseField="5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7E545-9316-4120-9F9A-7F1D544E64F9}" name="tblParts" displayName="tblParts" ref="A1:G31" totalsRowShown="0" headerRowDxfId="4" dataDxfId="5" headerRowBorderDxfId="14" tableBorderDxfId="15" totalsRowBorderDxfId="13">
  <autoFilter ref="A1:G31" xr:uid="{0FEE1003-6730-4525-ABBE-5E6C1DF40AE2}"/>
  <tableColumns count="7">
    <tableColumn id="1" xr3:uid="{C19B578F-3E30-4E67-A157-C1B8ECC9C512}" name="Part Number" dataDxfId="12"/>
    <tableColumn id="2" xr3:uid="{106C80BC-5B1E-485C-9CF5-3051F788B026}" name="Part Name" dataDxfId="11"/>
    <tableColumn id="3" xr3:uid="{4A339B8C-BB31-4003-BDDE-CCB53EBDA05C}" name="Category" dataDxfId="10"/>
    <tableColumn id="4" xr3:uid="{4AD86DD7-801E-4C2D-847A-67C06F171C71}" name="Revision" dataDxfId="9"/>
    <tableColumn id="5" xr3:uid="{25CE6FB4-E5B7-4B93-81C0-021CC34587E5}" name="Owner Dept" dataDxfId="8"/>
    <tableColumn id="6" xr3:uid="{C04E15CD-BAA1-4208-A471-5917FDC973A3}" name="Status" dataDxfId="7"/>
    <tableColumn id="7" xr3:uid="{AD517FF0-A345-4957-99E8-F25E1C3AD2BB}" name="Creation Date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1003-6730-4525-ABBE-5E6C1DF40AE2}">
  <dimension ref="A1:G31"/>
  <sheetViews>
    <sheetView zoomScale="94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6.77734375" customWidth="1"/>
    <col min="2" max="2" width="14.88671875" customWidth="1"/>
    <col min="3" max="3" width="12.44140625" customWidth="1"/>
    <col min="4" max="4" width="12.77734375" customWidth="1"/>
    <col min="5" max="5" width="16.44140625" customWidth="1"/>
    <col min="6" max="6" width="11.21875" customWidth="1"/>
    <col min="7" max="7" width="16.109375" customWidth="1"/>
  </cols>
  <sheetData>
    <row r="1" spans="1:7" ht="23.4" customHeight="1" x14ac:dyDescent="0.3">
      <c r="A1" s="5" t="s">
        <v>20</v>
      </c>
      <c r="B1" s="6" t="s">
        <v>21</v>
      </c>
      <c r="C1" s="6" t="s">
        <v>9</v>
      </c>
      <c r="D1" s="6" t="s">
        <v>19</v>
      </c>
      <c r="E1" s="6" t="s">
        <v>22</v>
      </c>
      <c r="F1" s="6" t="s">
        <v>0</v>
      </c>
      <c r="G1" s="7" t="s">
        <v>23</v>
      </c>
    </row>
    <row r="2" spans="1:7" x14ac:dyDescent="0.3">
      <c r="A2" s="3" t="s">
        <v>24</v>
      </c>
      <c r="B2" s="2" t="s">
        <v>25</v>
      </c>
      <c r="C2" s="2" t="s">
        <v>10</v>
      </c>
      <c r="D2" s="2" t="s">
        <v>14</v>
      </c>
      <c r="E2" s="2" t="s">
        <v>5</v>
      </c>
      <c r="F2" s="2" t="s">
        <v>2</v>
      </c>
      <c r="G2" s="4">
        <v>46023</v>
      </c>
    </row>
    <row r="3" spans="1:7" x14ac:dyDescent="0.3">
      <c r="A3" s="3" t="s">
        <v>26</v>
      </c>
      <c r="B3" s="2" t="s">
        <v>27</v>
      </c>
      <c r="C3" s="2" t="s">
        <v>10</v>
      </c>
      <c r="D3" s="2" t="s">
        <v>15</v>
      </c>
      <c r="E3" s="2" t="s">
        <v>5</v>
      </c>
      <c r="F3" s="2" t="s">
        <v>2</v>
      </c>
      <c r="G3" s="4">
        <v>46024</v>
      </c>
    </row>
    <row r="4" spans="1:7" ht="28.8" x14ac:dyDescent="0.3">
      <c r="A4" s="3" t="s">
        <v>28</v>
      </c>
      <c r="B4" s="2" t="s">
        <v>29</v>
      </c>
      <c r="C4" s="2" t="s">
        <v>13</v>
      </c>
      <c r="D4" s="2" t="s">
        <v>14</v>
      </c>
      <c r="E4" s="2" t="s">
        <v>6</v>
      </c>
      <c r="F4" s="2" t="s">
        <v>1</v>
      </c>
      <c r="G4" s="4">
        <v>46025</v>
      </c>
    </row>
    <row r="5" spans="1:7" x14ac:dyDescent="0.3">
      <c r="A5" s="3" t="s">
        <v>30</v>
      </c>
      <c r="B5" s="2" t="s">
        <v>31</v>
      </c>
      <c r="C5" s="2" t="s">
        <v>11</v>
      </c>
      <c r="D5" s="2" t="s">
        <v>16</v>
      </c>
      <c r="E5" s="2" t="s">
        <v>7</v>
      </c>
      <c r="F5" s="2" t="s">
        <v>2</v>
      </c>
      <c r="G5" s="4">
        <v>46026</v>
      </c>
    </row>
    <row r="6" spans="1:7" ht="28.8" x14ac:dyDescent="0.3">
      <c r="A6" s="3" t="s">
        <v>32</v>
      </c>
      <c r="B6" s="2" t="s">
        <v>33</v>
      </c>
      <c r="C6" s="2" t="s">
        <v>12</v>
      </c>
      <c r="D6" s="2" t="s">
        <v>14</v>
      </c>
      <c r="E6" s="2" t="s">
        <v>5</v>
      </c>
      <c r="F6" s="2" t="s">
        <v>3</v>
      </c>
      <c r="G6" s="4">
        <v>46027</v>
      </c>
    </row>
    <row r="7" spans="1:7" x14ac:dyDescent="0.3">
      <c r="A7" s="3" t="s">
        <v>34</v>
      </c>
      <c r="B7" s="2" t="s">
        <v>35</v>
      </c>
      <c r="C7" s="2" t="s">
        <v>11</v>
      </c>
      <c r="D7" s="2" t="s">
        <v>15</v>
      </c>
      <c r="E7" s="2" t="s">
        <v>6</v>
      </c>
      <c r="F7" s="2" t="s">
        <v>2</v>
      </c>
      <c r="G7" s="4">
        <v>46028</v>
      </c>
    </row>
    <row r="8" spans="1:7" x14ac:dyDescent="0.3">
      <c r="A8" s="3" t="s">
        <v>36</v>
      </c>
      <c r="B8" s="2" t="s">
        <v>37</v>
      </c>
      <c r="C8" s="2" t="s">
        <v>13</v>
      </c>
      <c r="D8" s="2" t="s">
        <v>14</v>
      </c>
      <c r="E8" s="2" t="s">
        <v>5</v>
      </c>
      <c r="F8" s="2" t="s">
        <v>1</v>
      </c>
      <c r="G8" s="4">
        <v>46029</v>
      </c>
    </row>
    <row r="9" spans="1:7" x14ac:dyDescent="0.3">
      <c r="A9" s="3" t="s">
        <v>38</v>
      </c>
      <c r="B9" s="2" t="s">
        <v>39</v>
      </c>
      <c r="C9" s="2" t="s">
        <v>12</v>
      </c>
      <c r="D9" s="2" t="s">
        <v>16</v>
      </c>
      <c r="E9" s="2" t="s">
        <v>7</v>
      </c>
      <c r="F9" s="2" t="s">
        <v>2</v>
      </c>
      <c r="G9" s="4">
        <v>46030</v>
      </c>
    </row>
    <row r="10" spans="1:7" x14ac:dyDescent="0.3">
      <c r="A10" s="3" t="s">
        <v>40</v>
      </c>
      <c r="B10" s="2" t="s">
        <v>41</v>
      </c>
      <c r="C10" s="2" t="s">
        <v>10</v>
      </c>
      <c r="D10" s="2" t="s">
        <v>15</v>
      </c>
      <c r="E10" s="2" t="s">
        <v>5</v>
      </c>
      <c r="F10" s="2" t="s">
        <v>2</v>
      </c>
      <c r="G10" s="4">
        <v>46031</v>
      </c>
    </row>
    <row r="11" spans="1:7" x14ac:dyDescent="0.3">
      <c r="A11" s="3" t="s">
        <v>42</v>
      </c>
      <c r="B11" s="2" t="s">
        <v>43</v>
      </c>
      <c r="C11" s="2" t="s">
        <v>11</v>
      </c>
      <c r="D11" s="2" t="s">
        <v>14</v>
      </c>
      <c r="E11" s="2" t="s">
        <v>6</v>
      </c>
      <c r="F11" s="2" t="s">
        <v>1</v>
      </c>
      <c r="G11" s="4">
        <v>46032</v>
      </c>
    </row>
    <row r="12" spans="1:7" x14ac:dyDescent="0.3">
      <c r="A12" s="3" t="s">
        <v>44</v>
      </c>
      <c r="B12" s="2" t="s">
        <v>45</v>
      </c>
      <c r="C12" s="2" t="s">
        <v>13</v>
      </c>
      <c r="D12" s="2" t="s">
        <v>17</v>
      </c>
      <c r="E12" s="2" t="s">
        <v>5</v>
      </c>
      <c r="F12" s="2" t="s">
        <v>2</v>
      </c>
      <c r="G12" s="4">
        <v>46033</v>
      </c>
    </row>
    <row r="13" spans="1:7" x14ac:dyDescent="0.3">
      <c r="A13" s="3" t="s">
        <v>46</v>
      </c>
      <c r="B13" s="2" t="s">
        <v>47</v>
      </c>
      <c r="C13" s="2" t="s">
        <v>12</v>
      </c>
      <c r="D13" s="2" t="s">
        <v>15</v>
      </c>
      <c r="E13" s="2" t="s">
        <v>8</v>
      </c>
      <c r="F13" s="2" t="s">
        <v>2</v>
      </c>
      <c r="G13" s="4">
        <v>46034</v>
      </c>
    </row>
    <row r="14" spans="1:7" x14ac:dyDescent="0.3">
      <c r="A14" s="3" t="s">
        <v>48</v>
      </c>
      <c r="B14" s="2" t="s">
        <v>49</v>
      </c>
      <c r="C14" s="2" t="s">
        <v>11</v>
      </c>
      <c r="D14" s="2" t="s">
        <v>16</v>
      </c>
      <c r="E14" s="2" t="s">
        <v>7</v>
      </c>
      <c r="F14" s="2" t="s">
        <v>2</v>
      </c>
      <c r="G14" s="4">
        <v>46035</v>
      </c>
    </row>
    <row r="15" spans="1:7" x14ac:dyDescent="0.3">
      <c r="A15" s="3" t="s">
        <v>50</v>
      </c>
      <c r="B15" s="2" t="s">
        <v>51</v>
      </c>
      <c r="C15" s="2" t="s">
        <v>10</v>
      </c>
      <c r="D15" s="2" t="s">
        <v>14</v>
      </c>
      <c r="E15" s="2" t="s">
        <v>6</v>
      </c>
      <c r="F15" s="2" t="s">
        <v>1</v>
      </c>
      <c r="G15" s="4">
        <v>46036</v>
      </c>
    </row>
    <row r="16" spans="1:7" x14ac:dyDescent="0.3">
      <c r="A16" s="3" t="s">
        <v>52</v>
      </c>
      <c r="B16" s="2" t="s">
        <v>53</v>
      </c>
      <c r="C16" s="2" t="s">
        <v>10</v>
      </c>
      <c r="D16" s="2" t="s">
        <v>15</v>
      </c>
      <c r="E16" s="2" t="s">
        <v>5</v>
      </c>
      <c r="F16" s="2" t="s">
        <v>2</v>
      </c>
      <c r="G16" s="4">
        <v>46037</v>
      </c>
    </row>
    <row r="17" spans="1:7" x14ac:dyDescent="0.3">
      <c r="A17" s="3" t="s">
        <v>54</v>
      </c>
      <c r="B17" s="2" t="s">
        <v>55</v>
      </c>
      <c r="C17" s="2" t="s">
        <v>11</v>
      </c>
      <c r="D17" s="2" t="s">
        <v>14</v>
      </c>
      <c r="E17" s="2" t="s">
        <v>7</v>
      </c>
      <c r="F17" s="2" t="s">
        <v>2</v>
      </c>
      <c r="G17" s="4">
        <v>46038</v>
      </c>
    </row>
    <row r="18" spans="1:7" x14ac:dyDescent="0.3">
      <c r="A18" s="3" t="s">
        <v>56</v>
      </c>
      <c r="B18" s="2" t="s">
        <v>57</v>
      </c>
      <c r="C18" s="2" t="s">
        <v>12</v>
      </c>
      <c r="D18" s="2" t="s">
        <v>17</v>
      </c>
      <c r="E18" s="2" t="s">
        <v>8</v>
      </c>
      <c r="F18" s="2" t="s">
        <v>3</v>
      </c>
      <c r="G18" s="4">
        <v>46039</v>
      </c>
    </row>
    <row r="19" spans="1:7" ht="28.8" x14ac:dyDescent="0.3">
      <c r="A19" s="3" t="s">
        <v>58</v>
      </c>
      <c r="B19" s="2" t="s">
        <v>59</v>
      </c>
      <c r="C19" s="2" t="s">
        <v>13</v>
      </c>
      <c r="D19" s="2" t="s">
        <v>15</v>
      </c>
      <c r="E19" s="2" t="s">
        <v>6</v>
      </c>
      <c r="F19" s="2" t="s">
        <v>2</v>
      </c>
      <c r="G19" s="4">
        <v>46040</v>
      </c>
    </row>
    <row r="20" spans="1:7" x14ac:dyDescent="0.3">
      <c r="A20" s="3" t="s">
        <v>60</v>
      </c>
      <c r="B20" s="2" t="s">
        <v>61</v>
      </c>
      <c r="C20" s="2" t="s">
        <v>10</v>
      </c>
      <c r="D20" s="2" t="s">
        <v>16</v>
      </c>
      <c r="E20" s="2" t="s">
        <v>5</v>
      </c>
      <c r="F20" s="2" t="s">
        <v>2</v>
      </c>
      <c r="G20" s="4">
        <v>46041</v>
      </c>
    </row>
    <row r="21" spans="1:7" x14ac:dyDescent="0.3">
      <c r="A21" s="3" t="s">
        <v>62</v>
      </c>
      <c r="B21" s="2" t="s">
        <v>63</v>
      </c>
      <c r="C21" s="2" t="s">
        <v>11</v>
      </c>
      <c r="D21" s="2" t="s">
        <v>14</v>
      </c>
      <c r="E21" s="2" t="s">
        <v>7</v>
      </c>
      <c r="F21" s="2" t="s">
        <v>1</v>
      </c>
      <c r="G21" s="4">
        <v>46042</v>
      </c>
    </row>
    <row r="22" spans="1:7" x14ac:dyDescent="0.3">
      <c r="A22" s="3" t="s">
        <v>64</v>
      </c>
      <c r="B22" s="2" t="s">
        <v>65</v>
      </c>
      <c r="C22" s="2" t="s">
        <v>12</v>
      </c>
      <c r="D22" s="2" t="s">
        <v>15</v>
      </c>
      <c r="E22" s="2" t="s">
        <v>8</v>
      </c>
      <c r="F22" s="2" t="s">
        <v>2</v>
      </c>
      <c r="G22" s="4">
        <v>46043</v>
      </c>
    </row>
    <row r="23" spans="1:7" x14ac:dyDescent="0.3">
      <c r="A23" s="3" t="s">
        <v>66</v>
      </c>
      <c r="B23" s="2" t="s">
        <v>67</v>
      </c>
      <c r="C23" s="2" t="s">
        <v>13</v>
      </c>
      <c r="D23" s="2" t="s">
        <v>16</v>
      </c>
      <c r="E23" s="2" t="s">
        <v>6</v>
      </c>
      <c r="F23" s="2" t="s">
        <v>2</v>
      </c>
      <c r="G23" s="4">
        <v>46044</v>
      </c>
    </row>
    <row r="24" spans="1:7" x14ac:dyDescent="0.3">
      <c r="A24" s="3" t="s">
        <v>68</v>
      </c>
      <c r="B24" s="2" t="s">
        <v>69</v>
      </c>
      <c r="C24" s="2" t="s">
        <v>10</v>
      </c>
      <c r="D24" s="2" t="s">
        <v>14</v>
      </c>
      <c r="E24" s="2" t="s">
        <v>5</v>
      </c>
      <c r="F24" s="2" t="s">
        <v>2</v>
      </c>
      <c r="G24" s="4">
        <v>46045</v>
      </c>
    </row>
    <row r="25" spans="1:7" x14ac:dyDescent="0.3">
      <c r="A25" s="3" t="s">
        <v>70</v>
      </c>
      <c r="B25" s="2" t="s">
        <v>71</v>
      </c>
      <c r="C25" s="2" t="s">
        <v>11</v>
      </c>
      <c r="D25" s="2" t="s">
        <v>17</v>
      </c>
      <c r="E25" s="2" t="s">
        <v>7</v>
      </c>
      <c r="F25" s="2" t="s">
        <v>3</v>
      </c>
      <c r="G25" s="4">
        <v>46046</v>
      </c>
    </row>
    <row r="26" spans="1:7" x14ac:dyDescent="0.3">
      <c r="A26" s="3" t="s">
        <v>72</v>
      </c>
      <c r="B26" s="2" t="s">
        <v>73</v>
      </c>
      <c r="C26" s="2" t="s">
        <v>12</v>
      </c>
      <c r="D26" s="2" t="s">
        <v>14</v>
      </c>
      <c r="E26" s="2" t="s">
        <v>8</v>
      </c>
      <c r="F26" s="2" t="s">
        <v>2</v>
      </c>
      <c r="G26" s="4">
        <v>46047</v>
      </c>
    </row>
    <row r="27" spans="1:7" x14ac:dyDescent="0.3">
      <c r="A27" s="3" t="s">
        <v>74</v>
      </c>
      <c r="B27" s="2" t="s">
        <v>75</v>
      </c>
      <c r="C27" s="2" t="s">
        <v>13</v>
      </c>
      <c r="D27" s="2" t="s">
        <v>15</v>
      </c>
      <c r="E27" s="2" t="s">
        <v>6</v>
      </c>
      <c r="F27" s="2" t="s">
        <v>1</v>
      </c>
      <c r="G27" s="4">
        <v>46048</v>
      </c>
    </row>
    <row r="28" spans="1:7" x14ac:dyDescent="0.3">
      <c r="A28" s="3" t="s">
        <v>76</v>
      </c>
      <c r="B28" s="2" t="s">
        <v>77</v>
      </c>
      <c r="C28" s="2" t="s">
        <v>10</v>
      </c>
      <c r="D28" s="2" t="s">
        <v>16</v>
      </c>
      <c r="E28" s="2" t="s">
        <v>5</v>
      </c>
      <c r="F28" s="2" t="s">
        <v>2</v>
      </c>
      <c r="G28" s="4">
        <v>46049</v>
      </c>
    </row>
    <row r="29" spans="1:7" x14ac:dyDescent="0.3">
      <c r="A29" s="3" t="s">
        <v>78</v>
      </c>
      <c r="B29" s="2" t="s">
        <v>79</v>
      </c>
      <c r="C29" s="2" t="s">
        <v>11</v>
      </c>
      <c r="D29" s="2" t="s">
        <v>15</v>
      </c>
      <c r="E29" s="2" t="s">
        <v>7</v>
      </c>
      <c r="F29" s="2" t="s">
        <v>2</v>
      </c>
      <c r="G29" s="4">
        <v>46050</v>
      </c>
    </row>
    <row r="30" spans="1:7" x14ac:dyDescent="0.3">
      <c r="A30" s="3" t="s">
        <v>80</v>
      </c>
      <c r="B30" s="2" t="s">
        <v>81</v>
      </c>
      <c r="C30" s="2" t="s">
        <v>12</v>
      </c>
      <c r="D30" s="2" t="s">
        <v>14</v>
      </c>
      <c r="E30" s="2" t="s">
        <v>8</v>
      </c>
      <c r="F30" s="2" t="s">
        <v>2</v>
      </c>
      <c r="G30" s="4">
        <v>46051</v>
      </c>
    </row>
    <row r="31" spans="1:7" x14ac:dyDescent="0.3">
      <c r="A31" s="8" t="s">
        <v>82</v>
      </c>
      <c r="B31" s="9" t="s">
        <v>83</v>
      </c>
      <c r="C31" s="9" t="s">
        <v>13</v>
      </c>
      <c r="D31" s="9" t="s">
        <v>17</v>
      </c>
      <c r="E31" s="9" t="s">
        <v>6</v>
      </c>
      <c r="F31" s="9" t="s">
        <v>2</v>
      </c>
      <c r="G31" s="10">
        <v>46052</v>
      </c>
    </row>
  </sheetData>
  <conditionalFormatting sqref="F2:F100">
    <cfRule type="cellIs" dxfId="3" priority="1" operator="equal">
      <formula>"Obsolete"</formula>
    </cfRule>
    <cfRule type="cellIs" dxfId="2" priority="2" operator="equal">
      <formula>"In Work"</formula>
    </cfRule>
    <cfRule type="cellIs" dxfId="1" priority="3" operator="equal">
      <formula>"In Work"</formula>
    </cfRule>
    <cfRule type="cellIs" dxfId="0" priority="4" operator="equal">
      <formula>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C461FE-2A7A-4B59-AE44-949EFEF80709}">
          <x14:formula1>
            <xm:f>Lookup_Data!$E$2:$E$5</xm:f>
          </x14:formula1>
          <xm:sqref>C2 C4:C100 C3</xm:sqref>
        </x14:dataValidation>
        <x14:dataValidation type="list" allowBlank="1" showInputMessage="1" showErrorMessage="1" xr:uid="{D53F3F3B-20B7-46DD-B75C-6CFD2D341105}">
          <x14:formula1>
            <xm:f>Lookup_Data!$G$2:$G$6</xm:f>
          </x14:formula1>
          <xm:sqref>D2:D100</xm:sqref>
        </x14:dataValidation>
        <x14:dataValidation type="list" allowBlank="1" showInputMessage="1" showErrorMessage="1" xr:uid="{88141020-E9E5-4C04-BFC4-E423C707B458}">
          <x14:formula1>
            <xm:f>Lookup_Data!$C$2:$C$5</xm:f>
          </x14:formula1>
          <xm:sqref>E2:E100</xm:sqref>
        </x14:dataValidation>
        <x14:dataValidation type="list" allowBlank="1" showInputMessage="1" showErrorMessage="1" xr:uid="{0D91392B-8B32-4474-93B4-138160F99239}">
          <x14:formula1>
            <xm:f>Lookup_Data!$A$2:$A$4</xm:f>
          </x14:formula1>
          <xm:sqref>F2:F100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9F68-6B42-41F7-AB49-F0001405A27B}">
  <dimension ref="A1:G6"/>
  <sheetViews>
    <sheetView workbookViewId="0">
      <selection activeCell="D15" sqref="D15"/>
    </sheetView>
  </sheetViews>
  <sheetFormatPr defaultRowHeight="14.4" x14ac:dyDescent="0.3"/>
  <sheetData>
    <row r="1" spans="1:7" x14ac:dyDescent="0.3">
      <c r="A1" s="1" t="s">
        <v>0</v>
      </c>
      <c r="C1" s="1" t="s">
        <v>4</v>
      </c>
      <c r="E1" s="1" t="s">
        <v>9</v>
      </c>
      <c r="G1" s="1" t="s">
        <v>19</v>
      </c>
    </row>
    <row r="2" spans="1:7" x14ac:dyDescent="0.3">
      <c r="A2" t="s">
        <v>1</v>
      </c>
      <c r="C2" t="s">
        <v>5</v>
      </c>
      <c r="E2" t="s">
        <v>10</v>
      </c>
      <c r="G2" t="s">
        <v>14</v>
      </c>
    </row>
    <row r="3" spans="1:7" x14ac:dyDescent="0.3">
      <c r="A3" t="s">
        <v>2</v>
      </c>
      <c r="C3" t="s">
        <v>6</v>
      </c>
      <c r="E3" t="s">
        <v>11</v>
      </c>
      <c r="G3" t="s">
        <v>15</v>
      </c>
    </row>
    <row r="4" spans="1:7" x14ac:dyDescent="0.3">
      <c r="A4" t="s">
        <v>3</v>
      </c>
      <c r="C4" t="s">
        <v>7</v>
      </c>
      <c r="E4" t="s">
        <v>12</v>
      </c>
      <c r="G4" t="s">
        <v>16</v>
      </c>
    </row>
    <row r="5" spans="1:7" x14ac:dyDescent="0.3">
      <c r="C5" t="s">
        <v>8</v>
      </c>
      <c r="E5" t="s">
        <v>13</v>
      </c>
      <c r="G5" t="s">
        <v>17</v>
      </c>
    </row>
    <row r="6" spans="1:7" x14ac:dyDescent="0.3">
      <c r="G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0F8A-C198-4F58-B73F-8CD4400B459E}">
  <dimension ref="A1:H5"/>
  <sheetViews>
    <sheetView tabSelected="1" workbookViewId="0">
      <selection activeCell="I12" sqref="I12"/>
    </sheetView>
  </sheetViews>
  <sheetFormatPr defaultRowHeight="14.4" x14ac:dyDescent="0.3"/>
  <cols>
    <col min="1" max="1" width="12.5546875" customWidth="1"/>
    <col min="3" max="3" width="13.109375" customWidth="1"/>
    <col min="5" max="5" width="12" customWidth="1"/>
    <col min="6" max="6" width="8" customWidth="1"/>
    <col min="7" max="7" width="11" customWidth="1"/>
  </cols>
  <sheetData>
    <row r="1" spans="1:8" ht="23.4" x14ac:dyDescent="0.45">
      <c r="A1" s="12" t="s">
        <v>84</v>
      </c>
      <c r="B1" s="12"/>
      <c r="C1" s="12"/>
      <c r="D1" s="12"/>
    </row>
    <row r="2" spans="1:8" ht="15" thickBot="1" x14ac:dyDescent="0.35"/>
    <row r="3" spans="1:8" ht="31.2" x14ac:dyDescent="0.6">
      <c r="A3" s="13" t="s">
        <v>85</v>
      </c>
      <c r="B3" s="14">
        <f>COUNTA(tblParts[Part Number])</f>
        <v>30</v>
      </c>
      <c r="C3" s="15" t="s">
        <v>86</v>
      </c>
      <c r="D3" s="16">
        <f>COUNTIF(tblParts[Status],"Released")</f>
        <v>21</v>
      </c>
      <c r="E3" s="21" t="s">
        <v>87</v>
      </c>
      <c r="F3" s="22">
        <f>COUNTIF(tblParts[Status],"In Work")</f>
        <v>6</v>
      </c>
      <c r="G3" s="23" t="s">
        <v>88</v>
      </c>
      <c r="H3" s="24">
        <f>COUNTIF(tblParts[Status],"Obsolete")</f>
        <v>3</v>
      </c>
    </row>
    <row r="4" spans="1:8" ht="15" thickBot="1" x14ac:dyDescent="0.35">
      <c r="A4" s="17"/>
      <c r="B4" s="18"/>
      <c r="C4" s="19"/>
      <c r="D4" s="20"/>
      <c r="E4" s="25"/>
      <c r="F4" s="26"/>
      <c r="G4" s="27"/>
      <c r="H4" s="28"/>
    </row>
    <row r="5" spans="1:8" x14ac:dyDescent="0.3">
      <c r="A5" s="11"/>
      <c r="B5" s="11"/>
      <c r="C5" s="11"/>
      <c r="D5" s="11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F4CC-E817-42F7-AF34-01BFDEA7FAEA}">
  <dimension ref="A1:B35"/>
  <sheetViews>
    <sheetView topLeftCell="B14" workbookViewId="0">
      <selection activeCell="D53" sqref="D53"/>
    </sheetView>
  </sheetViews>
  <sheetFormatPr defaultRowHeight="14.4" x14ac:dyDescent="0.3"/>
  <cols>
    <col min="1" max="1" width="12.5546875" bestFit="1" customWidth="1"/>
    <col min="2" max="2" width="10" bestFit="1" customWidth="1"/>
  </cols>
  <sheetData>
    <row r="1" spans="1:2" x14ac:dyDescent="0.3">
      <c r="A1" s="29" t="s">
        <v>89</v>
      </c>
      <c r="B1" t="s">
        <v>91</v>
      </c>
    </row>
    <row r="2" spans="1:2" x14ac:dyDescent="0.3">
      <c r="A2" s="30" t="s">
        <v>1</v>
      </c>
      <c r="B2" s="31">
        <v>6</v>
      </c>
    </row>
    <row r="3" spans="1:2" x14ac:dyDescent="0.3">
      <c r="A3" s="30" t="s">
        <v>3</v>
      </c>
      <c r="B3" s="31">
        <v>3</v>
      </c>
    </row>
    <row r="4" spans="1:2" x14ac:dyDescent="0.3">
      <c r="A4" s="30" t="s">
        <v>2</v>
      </c>
      <c r="B4" s="31">
        <v>21</v>
      </c>
    </row>
    <row r="5" spans="1:2" x14ac:dyDescent="0.3">
      <c r="A5" s="30" t="s">
        <v>90</v>
      </c>
      <c r="B5" s="31">
        <v>30</v>
      </c>
    </row>
    <row r="10" spans="1:2" x14ac:dyDescent="0.3">
      <c r="A10" s="29" t="s">
        <v>89</v>
      </c>
      <c r="B10" t="s">
        <v>91</v>
      </c>
    </row>
    <row r="11" spans="1:2" x14ac:dyDescent="0.3">
      <c r="A11" s="30" t="s">
        <v>13</v>
      </c>
      <c r="B11" s="31">
        <v>7</v>
      </c>
    </row>
    <row r="12" spans="1:2" x14ac:dyDescent="0.3">
      <c r="A12" s="30" t="s">
        <v>11</v>
      </c>
      <c r="B12" s="31">
        <v>8</v>
      </c>
    </row>
    <row r="13" spans="1:2" x14ac:dyDescent="0.3">
      <c r="A13" s="30" t="s">
        <v>12</v>
      </c>
      <c r="B13" s="31">
        <v>7</v>
      </c>
    </row>
    <row r="14" spans="1:2" x14ac:dyDescent="0.3">
      <c r="A14" s="30" t="s">
        <v>10</v>
      </c>
      <c r="B14" s="31">
        <v>8</v>
      </c>
    </row>
    <row r="15" spans="1:2" x14ac:dyDescent="0.3">
      <c r="A15" s="30" t="s">
        <v>90</v>
      </c>
      <c r="B15" s="31">
        <v>30</v>
      </c>
    </row>
    <row r="20" spans="1:2" x14ac:dyDescent="0.3">
      <c r="A20" s="29" t="s">
        <v>89</v>
      </c>
      <c r="B20" t="s">
        <v>91</v>
      </c>
    </row>
    <row r="21" spans="1:2" x14ac:dyDescent="0.3">
      <c r="A21" s="30" t="s">
        <v>5</v>
      </c>
      <c r="B21" s="31">
        <v>10</v>
      </c>
    </row>
    <row r="22" spans="1:2" x14ac:dyDescent="0.3">
      <c r="A22" s="30" t="s">
        <v>6</v>
      </c>
      <c r="B22" s="31">
        <v>8</v>
      </c>
    </row>
    <row r="23" spans="1:2" x14ac:dyDescent="0.3">
      <c r="A23" s="30" t="s">
        <v>8</v>
      </c>
      <c r="B23" s="31">
        <v>5</v>
      </c>
    </row>
    <row r="24" spans="1:2" x14ac:dyDescent="0.3">
      <c r="A24" s="30" t="s">
        <v>7</v>
      </c>
      <c r="B24" s="31">
        <v>7</v>
      </c>
    </row>
    <row r="25" spans="1:2" x14ac:dyDescent="0.3">
      <c r="A25" s="30" t="s">
        <v>90</v>
      </c>
      <c r="B25" s="31">
        <v>30</v>
      </c>
    </row>
    <row r="30" spans="1:2" x14ac:dyDescent="0.3">
      <c r="A30" s="29" t="s">
        <v>89</v>
      </c>
      <c r="B30" t="s">
        <v>91</v>
      </c>
    </row>
    <row r="31" spans="1:2" x14ac:dyDescent="0.3">
      <c r="A31" s="30" t="s">
        <v>14</v>
      </c>
      <c r="B31" s="31">
        <v>11</v>
      </c>
    </row>
    <row r="32" spans="1:2" x14ac:dyDescent="0.3">
      <c r="A32" s="30" t="s">
        <v>15</v>
      </c>
      <c r="B32" s="31">
        <v>9</v>
      </c>
    </row>
    <row r="33" spans="1:2" x14ac:dyDescent="0.3">
      <c r="A33" s="30" t="s">
        <v>16</v>
      </c>
      <c r="B33" s="31">
        <v>6</v>
      </c>
    </row>
    <row r="34" spans="1:2" x14ac:dyDescent="0.3">
      <c r="A34" s="30" t="s">
        <v>17</v>
      </c>
      <c r="B34" s="31">
        <v>4</v>
      </c>
    </row>
    <row r="35" spans="1:2" x14ac:dyDescent="0.3">
      <c r="A35" s="30" t="s">
        <v>90</v>
      </c>
      <c r="B35" s="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Part_Master</vt:lpstr>
      <vt:lpstr>Lookup_Data</vt:lpstr>
      <vt:lpstr>Dashboard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 S</dc:creator>
  <cp:lastModifiedBy>Malar S</cp:lastModifiedBy>
  <dcterms:created xsi:type="dcterms:W3CDTF">2026-06-24T08:04:03Z</dcterms:created>
  <dcterms:modified xsi:type="dcterms:W3CDTF">2026-06-24T09:26:08Z</dcterms:modified>
</cp:coreProperties>
</file>